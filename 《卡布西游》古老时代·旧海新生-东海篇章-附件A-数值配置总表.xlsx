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创作\kb\卡布西游-旧海新生\"/>
    </mc:Choice>
  </mc:AlternateContent>
  <xr:revisionPtr revIDLastSave="0" documentId="13_ncr:1_{42DEFA67-A9C0-497D-A966-60CB4997730B}" xr6:coauthVersionLast="47" xr6:coauthVersionMax="47" xr10:uidLastSave="{00000000-0000-0000-0000-000000000000}"/>
  <bookViews>
    <workbookView xWindow="3330" yWindow="4590" windowWidth="29205" windowHeight="14805" xr2:uid="{00000000-000D-0000-FFFF-FFFF00000000}"/>
  </bookViews>
  <sheets>
    <sheet name="总览与口径" sheetId="2" r:id="rId1"/>
    <sheet name="活动周期" sheetId="3" r:id="rId2"/>
    <sheet name="挂机产出" sheetId="4" r:id="rId3"/>
    <sheet name="材料提交" sheetId="5" r:id="rId4"/>
    <sheet name="签到奖励" sheetId="6" r:id="rId5"/>
    <sheet name="BOSS分段奖励" sheetId="7" r:id="rId6"/>
    <sheet name="商店兑换" sheetId="8" r:id="rId7"/>
    <sheet name="VIP特权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5" l="1"/>
  <c r="B10" i="4"/>
  <c r="B8" i="4"/>
</calcChain>
</file>

<file path=xl/sharedStrings.xml><?xml version="1.0" encoding="utf-8"?>
<sst xmlns="http://schemas.openxmlformats.org/spreadsheetml/2006/main" count="229" uniqueCount="229">
  <si>
    <t>《卡布西游》古老时代·旧海新生｜四海系列·东海篇章 数值配置总表</t>
  </si>
  <si>
    <t>一、文档信息</t>
  </si>
  <si>
    <t>对应附件</t>
  </si>
  <si>
    <t>GDD 附件3 / PRD 附录A</t>
  </si>
  <si>
    <t>编制日期</t>
  </si>
  <si>
    <t>2026-10-09</t>
  </si>
  <si>
    <t>数值状态</t>
  </si>
  <si>
    <t>建议配置版：文档硬约束已锁定，其余为建议值，可按数值策划调整</t>
  </si>
  <si>
    <t>面向对象</t>
  </si>
  <si>
    <t>程序（配置）、数值策划、测试（验收）</t>
  </si>
  <si>
    <t>二、货币与积分口径（统一说明）</t>
  </si>
  <si>
    <t>口径项</t>
  </si>
  <si>
    <t>说明</t>
  </si>
  <si>
    <t>东海珍珠</t>
  </si>
  <si>
    <t>活动专属材料与活动商店消耗货币。挂机产出、东海场景妖怪掉落产出；PRD 2.7 商店「货币：东海珍珠」。</t>
  </si>
  <si>
    <t>东海贝壳</t>
  </si>
  <si>
    <t>PRD 表2-2 表头所称「贝壳」与「东海珍珠」为同一物品的早期表述，统一为「东海珍珠」。</t>
  </si>
  <si>
    <t>活动积分</t>
  </si>
  <si>
    <t>GDD 1.4.1 所称商店「积分」为早期口径；按执行文档 PRD 2.7，商店实际消耗东海珍珠。材料提交任务发放积分（1 东海珍珠 = 1 积分），用于任务达成判定，不做商店消耗货币。</t>
  </si>
  <si>
    <t>每日清零</t>
  </si>
  <si>
    <t>挂机产出计数、材料提交上限、BOSS 挑战次数均为每日凌晨 0 点清零（PRD 2.2/2.3/2.5）。</t>
  </si>
  <si>
    <t>三、全局硬性业务约束（红线，禁止违反）</t>
  </si>
  <si>
    <t>约束一：累计伤害BOSS排行榜仅产出荣誉向奖励（皮肤、头像框、称号等），严禁投放妖怪本体、超进化材料。</t>
  </si>
  <si>
    <t>约束二：挂机运行状态下，玩家可自主选择退出。</t>
  </si>
  <si>
    <t>约束三：限时超进化并非永久绝版，所有公告与道具提示须写明：本次限时获取，后续版本将通过VIP消费礼包或抽奖活动返场。</t>
  </si>
  <si>
    <t>约束四：累计伤害BOSS无伤害门槛，造成≥1点伤害即可领取参与奖励。</t>
  </si>
  <si>
    <t>约束五：掉落专属材料场景内任意妖怪均可。</t>
  </si>
  <si>
    <t>约束六：每日常规资源不得超过地图每日可获得上限；禁止玩家之间交易东海活动专属材料。</t>
  </si>
  <si>
    <t>活动周期规划（表1-1 补齐）</t>
  </si>
  <si>
    <t>阶段</t>
  </si>
  <si>
    <t>时长（天）</t>
  </si>
  <si>
    <t>状态</t>
  </si>
  <si>
    <t>核心工作内容</t>
  </si>
  <si>
    <t>预热期</t>
  </si>
  <si>
    <t>建议值</t>
  </si>
  <si>
    <t>版本公告与邮件预告；论坛开启预热签到帖；二创征集活动开启；放出地图草图、概念素材</t>
  </si>
  <si>
    <t>正式活动期</t>
  </si>
  <si>
    <t>建议值</t>
  </si>
  <si>
    <t>东海双地图开放；挂机、材料提交、累计伤害BOSS、签到、活动商店全部开放</t>
  </si>
  <si>
    <t>结算缓冲期</t>
  </si>
  <si>
    <t>建议值</t>
  </si>
  <si>
    <t>关闭核心玩法入口；排行榜结算发奖；兑换商店保留，消耗剩余活动材料；停止签到计数</t>
  </si>
  <si>
    <t>备注：预热期登录不计入累计签到天数（PRD 2.4）；缓冲期不再增加签到天数，但已达成奖励可领取；缓冲期第一天早上10点执行排行榜最终结算（PRD 2.5）。总周期 35 天。</t>
  </si>
  <si>
    <t>挂机系统产出配置（PRD 2.2 补齐）</t>
  </si>
  <si>
    <t>配置项</t>
  </si>
  <si>
    <t>数值</t>
  </si>
  <si>
    <t>单位</t>
  </si>
  <si>
    <t>状态</t>
  </si>
  <si>
    <t>说明/口径</t>
  </si>
  <si>
    <t>单次挂机时长</t>
  </si>
  <si>
    <t>分钟</t>
  </si>
  <si>
    <t>硬约束</t>
  </si>
  <si>
    <t>PRD 2.2 固定</t>
  </si>
  <si>
    <t>普通玩家同时挂机任务数</t>
  </si>
  <si>
    <t>个</t>
  </si>
  <si>
    <t>硬约束</t>
  </si>
  <si>
    <t>PRD 2.2</t>
  </si>
  <si>
    <t>VIP玩家同时挂机任务数</t>
  </si>
  <si>
    <t>个</t>
  </si>
  <si>
    <t>硬约束</t>
  </si>
  <si>
    <t>2+1（VIP专属），PRD 2.2</t>
  </si>
  <si>
    <t>基础产出速率</t>
  </si>
  <si>
    <t>东海珍珠/5分钟/任务</t>
  </si>
  <si>
    <t>建议值</t>
  </si>
  <si>
    <t>每任务每5分钟产出1个东海珍珠</t>
  </si>
  <si>
    <t>普通玩家满产耗时</t>
  </si>
  <si>
    <t>分钟</t>
  </si>
  <si>
    <t>公式</t>
  </si>
  <si>
    <t>200 /（2任务×1×1倍率）×5分钟 ≈ 500分钟（约8.3小时）</t>
  </si>
  <si>
    <t>VIP加速比例</t>
  </si>
  <si>
    <t>—</t>
  </si>
  <si>
    <t>硬约束</t>
  </si>
  <si>
    <t>PRD 2.2：挂机加速30%，存储值0.3，显示30%</t>
  </si>
  <si>
    <t>VIP玩家满产耗时</t>
  </si>
  <si>
    <t>分钟</t>
  </si>
  <si>
    <t>公式</t>
  </si>
  <si>
    <t>200 /（3任务×1×1.3）×5分钟 ≈ 256分钟（约4.3小时）</t>
  </si>
  <si>
    <t>每日产出上限</t>
  </si>
  <si>
    <t>个东海珍珠</t>
  </si>
  <si>
    <t>硬约束</t>
  </si>
  <si>
    <t>PRD 2.2：到达上限停止产出，游戏跳出提示窗口</t>
  </si>
  <si>
    <t>清零规则</t>
  </si>
  <si>
    <t>每日0点清零今日挂机产出计数</t>
  </si>
  <si>
    <t>—</t>
  </si>
  <si>
    <t>硬约束</t>
  </si>
  <si>
    <t>PRD 2.2</t>
  </si>
  <si>
    <t>配置项</t>
  </si>
  <si>
    <t>数值</t>
  </si>
  <si>
    <t>单位</t>
  </si>
  <si>
    <t>状态</t>
  </si>
  <si>
    <t>说明/口径</t>
  </si>
  <si>
    <t>每日最大提交上限</t>
  </si>
  <si>
    <t>个东海珍珠</t>
  </si>
  <si>
    <t>建议值</t>
  </si>
  <si>
    <t>每日可提交的材料消耗上限</t>
  </si>
  <si>
    <t>单次提交消耗</t>
  </si>
  <si>
    <t>东海珍珠/次</t>
  </si>
  <si>
    <t>建议值</t>
  </si>
  <si>
    <t>每次提交任务消耗1个东海珍珠</t>
  </si>
  <si>
    <t>提交成功发放积分</t>
  </si>
  <si>
    <t>积分/次</t>
  </si>
  <si>
    <t>建议值</t>
  </si>
  <si>
    <t>1东海珍珠=1积分，用于任务达成判定（见总览口径）</t>
  </si>
  <si>
    <t>VIP提交消耗折扣</t>
  </si>
  <si>
    <t>—</t>
  </si>
  <si>
    <t>硬约束</t>
  </si>
  <si>
    <t>PRD 2.3：提交消耗-20%，向下取整。存储值-0.2，显示-20%</t>
  </si>
  <si>
    <t>VIP每日等效提交上限</t>
  </si>
  <si>
    <t>个东海珍珠</t>
  </si>
  <si>
    <t>公式</t>
  </si>
  <si>
    <t>每日提交上限100个 ÷ 80%（VIP折扣后消耗）≈ 125 个的等效提交空间</t>
  </si>
  <si>
    <t>清零规则</t>
  </si>
  <si>
    <t>每日0点清零今日提交上限</t>
  </si>
  <si>
    <t>—</t>
  </si>
  <si>
    <t>硬约束</t>
  </si>
  <si>
    <t>PRD 2.3</t>
  </si>
  <si>
    <t>累计登录签到奖励配置（PRD 2.4 补齐）</t>
  </si>
  <si>
    <t>档位</t>
  </si>
  <si>
    <t>达成条件</t>
  </si>
  <si>
    <t>奖励内容</t>
  </si>
  <si>
    <t>状态</t>
  </si>
  <si>
    <t>说明</t>
  </si>
  <si>
    <t>每日签到</t>
  </si>
  <si>
    <t>正式活动期内每日登录</t>
  </si>
  <si>
    <t>灵玉×5</t>
  </si>
  <si>
    <t>建议值</t>
  </si>
  <si>
    <t>累计登录非连续，正式期每天+1天（预热期不计入）</t>
  </si>
  <si>
    <t>档位1</t>
  </si>
  <si>
    <t>累计登录3天</t>
  </si>
  <si>
    <t>东海珍珠×20</t>
  </si>
  <si>
    <t>建议值</t>
  </si>
  <si>
    <t>缓解前期材料缺口</t>
  </si>
  <si>
    <t>档位2</t>
  </si>
  <si>
    <t>累计登录5天</t>
  </si>
  <si>
    <t>养成道具A×5</t>
  </si>
  <si>
    <t>建议值</t>
  </si>
  <si>
    <t>档位3</t>
  </si>
  <si>
    <t>累计登录7天</t>
  </si>
  <si>
    <t>普通活动妖怪本体</t>
  </si>
  <si>
    <t>硬约束</t>
  </si>
  <si>
    <t>PRD 2.4/2.6：签到7天直接发放到背包</t>
  </si>
  <si>
    <t>档位4</t>
  </si>
  <si>
    <t>累计登录10天</t>
  </si>
  <si>
    <t>超进化材料×10</t>
  </si>
  <si>
    <t>建议值</t>
  </si>
  <si>
    <t>强度奖励向全体玩家开放，商店不售卖超进化材料</t>
  </si>
  <si>
    <t>档位5</t>
  </si>
  <si>
    <t>累计登录14天</t>
  </si>
  <si>
    <t>养成道具B×10</t>
  </si>
  <si>
    <t>建议值</t>
  </si>
  <si>
    <t>档位6</t>
  </si>
  <si>
    <t>累计登录18天</t>
  </si>
  <si>
    <t>灵玉×100</t>
  </si>
  <si>
    <t>建议值</t>
  </si>
  <si>
    <t>档位7</t>
  </si>
  <si>
    <t>累计登录21天</t>
  </si>
  <si>
    <t>限定称号「东海守望者」</t>
  </si>
  <si>
    <t>建议值</t>
  </si>
  <si>
    <t>全勤荣誉向奖励，无数值加成</t>
  </si>
  <si>
    <t>规则：累计登录（非连续）；签到界面状态仅「未签到/已签到」两种；缓冲期停止天数累加，已达成奖励可领取；活动结束后超进化材料保留背包、超进化功能入口关闭。</t>
  </si>
  <si>
    <t>全服累计伤害BOSS 排行榜分段奖励（表2-1 补齐）</t>
  </si>
  <si>
    <t>分段</t>
  </si>
  <si>
    <t>奖励内容</t>
  </si>
  <si>
    <t>状态</t>
  </si>
  <si>
    <t>说明</t>
  </si>
  <si>
    <t>全服前500</t>
  </si>
  <si>
    <t>限定皮肤「龙王威仪」＋限定头像框「海眼之瞳」＋限定称号「镇海者」</t>
  </si>
  <si>
    <t>建议值</t>
  </si>
  <si>
    <t>荣誉向，严禁妖怪本体/超进化材料（硬约束）</t>
  </si>
  <si>
    <t>前5%（排除前500）</t>
  </si>
  <si>
    <t>限定头像框「海眼之瞳」＋限定称号「镇海者」</t>
  </si>
  <si>
    <t>建议值</t>
  </si>
  <si>
    <t>前20%（排除前5%）</t>
  </si>
  <si>
    <t>限定称号「破浪者」</t>
  </si>
  <si>
    <t>建议值</t>
  </si>
  <si>
    <t>前50%（排除前20%）</t>
  </si>
  <si>
    <t>普通称号「弄潮儿」</t>
  </si>
  <si>
    <t>建议值</t>
  </si>
  <si>
    <t>50%之后参与奖</t>
  </si>
  <si>
    <t>东海珍珠×50 ＋ 灵玉×30</t>
  </si>
  <si>
    <t>建议值</t>
  </si>
  <si>
    <t>单场造成≥1点伤害即可领取（硬约束）</t>
  </si>
  <si>
    <t>规则：每日挑战次数上限5次，每日0点重置；记录单场伤害，取最高5次合计更新个人榜；逃跑丢弃本场伤害、不扣次数；排行榜仅展示全服前500名，未达前500显示排名百分比；缓冲期第一天10点结算；同分并分排名；奖励仅荣誉向。</t>
  </si>
  <si>
    <t>活动商店兑换清单（表2-2 补齐，货币：东海珍珠）</t>
  </si>
  <si>
    <t>道具名称</t>
  </si>
  <si>
    <t>单次消耗珍珠</t>
  </si>
  <si>
    <t>限购规则</t>
  </si>
  <si>
    <t>状态</t>
  </si>
  <si>
    <t>备注</t>
  </si>
  <si>
    <t>灵玉</t>
  </si>
  <si>
    <t>活动总限购40次</t>
  </si>
  <si>
    <t>建议值</t>
  </si>
  <si>
    <t>消耗东海珍珠兑换，总限购（PRD 2.7 要求）</t>
  </si>
  <si>
    <t>养成道具A</t>
  </si>
  <si>
    <t>每周限购10次</t>
  </si>
  <si>
    <t>建议值</t>
  </si>
  <si>
    <t>养成道具B</t>
  </si>
  <si>
    <t>每周限购5次</t>
  </si>
  <si>
    <t>建议值</t>
  </si>
  <si>
    <t>补充道具，可按需增删</t>
  </si>
  <si>
    <t>普通头像</t>
  </si>
  <si>
    <t>无限购</t>
  </si>
  <si>
    <t>建议值</t>
  </si>
  <si>
    <t>普通称号</t>
  </si>
  <si>
    <t>无限购</t>
  </si>
  <si>
    <t>建议值</t>
  </si>
  <si>
    <t>禁止配置：妖怪本体、超进化材料（硬约束）。商店入口位于海眼场景及活动总览内；缓冲结算期依然保留商店入口；兑换校验：扣除对应东海珍珠、材料不足弹窗提示；道具限购严格管控，防止通货膨胀。</t>
  </si>
  <si>
    <t>VIP专属活动特权汇总（PRD 2.8 补齐）</t>
  </si>
  <si>
    <t>特权项</t>
  </si>
  <si>
    <t>数值</t>
  </si>
  <si>
    <t>状态</t>
  </si>
  <si>
    <t>说明/口径</t>
  </si>
  <si>
    <t>挂机任务上限提升</t>
  </si>
  <si>
    <t>2 → 3</t>
  </si>
  <si>
    <t>硬约束</t>
  </si>
  <si>
    <t>VIP玩家可同时开启3个挂机任务（2+1 VIP专属）</t>
  </si>
  <si>
    <t>挂机加速</t>
  </si>
  <si>
    <t>30%</t>
  </si>
  <si>
    <t>硬约束</t>
  </si>
  <si>
    <t>产出速度提升30%，存储值0.3</t>
  </si>
  <si>
    <t>材料提交折扣</t>
  </si>
  <si>
    <t>-20%</t>
  </si>
  <si>
    <t>硬约束</t>
  </si>
  <si>
    <t>提交消耗减少20%，向下取整</t>
  </si>
  <si>
    <t>VIP专属材料礼包</t>
  </si>
  <si>
    <t>不超越每日上限</t>
  </si>
  <si>
    <t>备注</t>
  </si>
  <si>
    <t>GDD 1.4.1 提及，PRD 2.8 未展开，本版本以PRD 2.8三条特权为准</t>
  </si>
  <si>
    <t>规则：校验玩家VIP状态自动生效；非VIP玩家特权按钮置灰，点击后弹窗提示VIP解锁；所有VIP特权按钮增加VIP角标标识（PRD 3.8）。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</si>
</sst>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1"/>
      <color theme="1"/>
      <name val="等线"/>
      <family val="2"/>
      <scheme val="minor"/>
    </font>
    <font>
      <b/>
      <sz val="14"/>
      <color rgb="FF17365D"/>
      <name val="微软雅黑"/>
      <family val="2"/>
    </font>
    <font>
      <sz val="11"/>
      <color rgb="FF000000"/>
      <name val="Calibri"/>
      <family val="2"/>
    </font>
    <font>
      <b/>
      <sz val="11"/>
      <color rgb="FF000000"/>
      <name val="微软雅黑"/>
      <family val="2"/>
    </font>
    <font>
      <sz val="11"/>
      <color rgb="FF000000"/>
      <name val="微软雅黑"/>
      <family val="2"/>
    </font>
    <font>
      <b/>
      <sz val="11"/>
      <color rgb="FFFFFFFF"/>
      <name val="微软雅黑"/>
      <family val="2"/>
    </font>
    <font>
      <sz val="9"/>
      <color rgb="FF7F6000"/>
      <name val="微软雅黑"/>
      <family val="2"/>
    </font>
    <font>
      <sz val="9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numFmtId="0" fontId="0" fillId="0" borderId="0" applyNumberFormat="0" applyFont="0" applyFill="0" applyBorder="0" applyProtection="0"/>
  </cellStyleXfs>
  <cellXfs count="48"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/>
    <xf numFmtId="0" fontId="6" fillId="8" borderId="5" xfId="0" applyFont="1" applyFill="1" applyBorder="1" applyAlignment="1">
      <alignment horizontal="left" vertical="center" wrapText="1"/>
    </xf>
    <xf numFmtId="0" fontId="2" fillId="0" borderId="5" xfId="0" applyFont="1" applyBorder="1" applyAlignment="1"/>
    <xf numFmtId="0" fontId="6" fillId="10" borderId="6" xfId="0" applyFont="1" applyFill="1" applyBorder="1" applyAlignment="1">
      <alignment horizontal="left" vertical="center" wrapText="1"/>
    </xf>
    <xf numFmtId="0" fontId="2" fillId="0" borderId="6" xfId="0" applyFont="1" applyBorder="1" applyAlignment="1"/>
    <xf numFmtId="0" fontId="6" fillId="12" borderId="7" xfId="0" applyFont="1" applyFill="1" applyBorder="1" applyAlignment="1">
      <alignment horizontal="left" vertical="center" wrapText="1"/>
    </xf>
    <xf numFmtId="0" fontId="2" fillId="0" borderId="7" xfId="0" applyFont="1" applyBorder="1" applyAlignment="1"/>
    <xf numFmtId="0" fontId="6" fillId="14" borderId="8" xfId="0" applyFont="1" applyFill="1" applyBorder="1" applyAlignment="1">
      <alignment horizontal="left" vertical="center" wrapText="1"/>
    </xf>
    <xf numFmtId="0" fontId="2" fillId="0" borderId="8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79BC-CB05-4348-8885-B06124CBAA97}">
  <sheetPr>
    <outlinePr summaryBelow="0" summaryRight="0"/>
  </sheetPr>
  <dimension ref="A1:E22"/>
  <sheetViews>
    <sheetView showGridLines="0" tabSelected="1" workbookViewId="0">
      <selection sqref="A1:E1"/>
    </sheetView>
  </sheetViews>
  <sheetFormatPr defaultColWidth="8" defaultRowHeight="14.25" x14ac:dyDescent="0.2"/>
  <cols>
    <col min="1" max="1" width="14" customWidth="1"/>
    <col min="2" max="5" width="18" customWidth="1"/>
  </cols>
  <sheetData>
    <row r="1" spans="1:5" ht="29.1" customHeight="1" x14ac:dyDescent="0.2">
      <c r="A1" s="37" t="s">
        <v>0</v>
      </c>
      <c r="B1" s="35"/>
      <c r="C1" s="35"/>
      <c r="D1" s="35"/>
      <c r="E1" s="35"/>
    </row>
    <row r="2" spans="1:5" ht="15" customHeight="1" x14ac:dyDescent="0.2"/>
    <row r="3" spans="1:5" ht="15" customHeight="1" x14ac:dyDescent="0.25">
      <c r="A3" s="36" t="s">
        <v>1</v>
      </c>
      <c r="B3" s="34"/>
      <c r="C3" s="34"/>
      <c r="D3" s="34"/>
      <c r="E3" s="34"/>
    </row>
    <row r="4" spans="1:5" ht="15" customHeight="1" x14ac:dyDescent="0.25">
      <c r="A4" s="1" t="s">
        <v>2</v>
      </c>
      <c r="B4" s="33" t="s">
        <v>3</v>
      </c>
      <c r="C4" s="34"/>
      <c r="D4" s="34"/>
      <c r="E4" s="34"/>
    </row>
    <row r="5" spans="1:5" ht="15" customHeight="1" x14ac:dyDescent="0.25">
      <c r="A5" s="1" t="s">
        <v>4</v>
      </c>
      <c r="B5" s="33" t="s">
        <v>5</v>
      </c>
      <c r="C5" s="34"/>
      <c r="D5" s="34"/>
      <c r="E5" s="34"/>
    </row>
    <row r="6" spans="1:5" ht="29.1" customHeight="1" x14ac:dyDescent="0.25">
      <c r="A6" s="1" t="s">
        <v>6</v>
      </c>
      <c r="B6" s="33" t="s">
        <v>7</v>
      </c>
      <c r="C6" s="34"/>
      <c r="D6" s="34"/>
      <c r="E6" s="34"/>
    </row>
    <row r="7" spans="1:5" ht="15" customHeight="1" x14ac:dyDescent="0.25">
      <c r="A7" s="1" t="s">
        <v>8</v>
      </c>
      <c r="B7" s="33" t="s">
        <v>9</v>
      </c>
      <c r="C7" s="34"/>
      <c r="D7" s="34"/>
      <c r="E7" s="34"/>
    </row>
    <row r="8" spans="1:5" ht="15" customHeight="1" x14ac:dyDescent="0.2"/>
    <row r="9" spans="1:5" ht="15" customHeight="1" x14ac:dyDescent="0.25">
      <c r="A9" s="36" t="s">
        <v>10</v>
      </c>
      <c r="B9" s="34"/>
      <c r="C9" s="34"/>
      <c r="D9" s="34"/>
      <c r="E9" s="34"/>
    </row>
    <row r="10" spans="1:5" ht="15" customHeight="1" x14ac:dyDescent="0.2">
      <c r="A10" s="1" t="s">
        <v>11</v>
      </c>
      <c r="B10" s="33" t="s">
        <v>12</v>
      </c>
      <c r="C10" s="35"/>
      <c r="D10" s="35"/>
      <c r="E10" s="35"/>
    </row>
    <row r="11" spans="1:5" ht="43.5" customHeight="1" x14ac:dyDescent="0.25">
      <c r="A11" s="1" t="s">
        <v>13</v>
      </c>
      <c r="B11" s="33" t="s">
        <v>14</v>
      </c>
      <c r="C11" s="34"/>
      <c r="D11" s="34"/>
      <c r="E11" s="34"/>
    </row>
    <row r="12" spans="1:5" ht="29.1" customHeight="1" x14ac:dyDescent="0.25">
      <c r="A12" s="1" t="s">
        <v>15</v>
      </c>
      <c r="B12" s="33" t="s">
        <v>16</v>
      </c>
      <c r="C12" s="34"/>
      <c r="D12" s="34"/>
      <c r="E12" s="34"/>
    </row>
    <row r="13" spans="1:5" ht="72.599999999999994" customHeight="1" x14ac:dyDescent="0.25">
      <c r="A13" s="1" t="s">
        <v>17</v>
      </c>
      <c r="B13" s="33" t="s">
        <v>18</v>
      </c>
      <c r="C13" s="34"/>
      <c r="D13" s="34"/>
      <c r="E13" s="34"/>
    </row>
    <row r="14" spans="1:5" ht="43.5" customHeight="1" x14ac:dyDescent="0.25">
      <c r="A14" s="1" t="s">
        <v>19</v>
      </c>
      <c r="B14" s="33" t="s">
        <v>20</v>
      </c>
      <c r="C14" s="34"/>
      <c r="D14" s="34"/>
      <c r="E14" s="34"/>
    </row>
    <row r="15" spans="1:5" ht="15" customHeight="1" x14ac:dyDescent="0.2"/>
    <row r="16" spans="1:5" ht="15" customHeight="1" x14ac:dyDescent="0.25">
      <c r="A16" s="36" t="s">
        <v>21</v>
      </c>
      <c r="B16" s="34"/>
      <c r="C16" s="34"/>
      <c r="D16" s="34"/>
      <c r="E16" s="34"/>
    </row>
    <row r="17" spans="1:5" ht="43.5" customHeight="1" x14ac:dyDescent="0.25">
      <c r="A17" s="33" t="s">
        <v>22</v>
      </c>
      <c r="B17" s="34"/>
      <c r="C17" s="34"/>
      <c r="D17" s="34"/>
      <c r="E17" s="34"/>
    </row>
    <row r="18" spans="1:5" ht="15" customHeight="1" x14ac:dyDescent="0.25">
      <c r="A18" s="33" t="s">
        <v>23</v>
      </c>
      <c r="B18" s="34"/>
      <c r="C18" s="34"/>
      <c r="D18" s="34"/>
      <c r="E18" s="34"/>
    </row>
    <row r="19" spans="1:5" ht="43.5" customHeight="1" x14ac:dyDescent="0.25">
      <c r="A19" s="33" t="s">
        <v>24</v>
      </c>
      <c r="B19" s="34"/>
      <c r="C19" s="34"/>
      <c r="D19" s="34"/>
      <c r="E19" s="34"/>
    </row>
    <row r="20" spans="1:5" ht="29.1" customHeight="1" x14ac:dyDescent="0.25">
      <c r="A20" s="33" t="s">
        <v>25</v>
      </c>
      <c r="B20" s="34"/>
      <c r="C20" s="34"/>
      <c r="D20" s="34"/>
      <c r="E20" s="34"/>
    </row>
    <row r="21" spans="1:5" ht="15" customHeight="1" x14ac:dyDescent="0.25">
      <c r="A21" s="33" t="s">
        <v>26</v>
      </c>
      <c r="B21" s="34"/>
      <c r="C21" s="34"/>
      <c r="D21" s="34"/>
      <c r="E21" s="34"/>
    </row>
    <row r="22" spans="1:5" ht="29.1" customHeight="1" x14ac:dyDescent="0.25">
      <c r="A22" s="33" t="s">
        <v>27</v>
      </c>
      <c r="B22" s="34"/>
      <c r="C22" s="34"/>
      <c r="D22" s="34"/>
      <c r="E22" s="34"/>
    </row>
  </sheetData>
  <mergeCells count="19">
    <mergeCell ref="B12:E12"/>
    <mergeCell ref="B11:E11"/>
    <mergeCell ref="B10:E10"/>
    <mergeCell ref="A9:E9"/>
    <mergeCell ref="A1:E1"/>
    <mergeCell ref="B5:E5"/>
    <mergeCell ref="B4:E4"/>
    <mergeCell ref="B7:E7"/>
    <mergeCell ref="A3:E3"/>
    <mergeCell ref="B6:E6"/>
    <mergeCell ref="A22:E22"/>
    <mergeCell ref="A17:E17"/>
    <mergeCell ref="B14:E14"/>
    <mergeCell ref="A20:E20"/>
    <mergeCell ref="B13:E13"/>
    <mergeCell ref="A19:E19"/>
    <mergeCell ref="A18:E18"/>
    <mergeCell ref="A21:E21"/>
    <mergeCell ref="A16:E16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797A-1677-41ED-B026-FFD938B73C79}">
  <sheetPr>
    <outlinePr summaryBelow="0" summaryRight="0"/>
  </sheetPr>
  <dimension ref="A1:D7"/>
  <sheetViews>
    <sheetView showGridLines="0" workbookViewId="0">
      <selection sqref="A1:D1"/>
    </sheetView>
  </sheetViews>
  <sheetFormatPr defaultColWidth="8" defaultRowHeight="14.25" x14ac:dyDescent="0.2"/>
  <cols>
    <col min="1" max="1" width="46" customWidth="1"/>
    <col min="2" max="2" width="13" customWidth="1"/>
    <col min="3" max="3" width="9" customWidth="1"/>
    <col min="4" max="4" width="46" customWidth="1"/>
  </cols>
  <sheetData>
    <row r="1" spans="1:4" ht="15" customHeight="1" x14ac:dyDescent="0.2">
      <c r="A1" s="37" t="s">
        <v>28</v>
      </c>
      <c r="B1" s="35"/>
      <c r="C1" s="35"/>
      <c r="D1" s="35"/>
    </row>
    <row r="2" spans="1:4" ht="15" customHeight="1" x14ac:dyDescent="0.2"/>
    <row r="3" spans="1:4" ht="15" customHeight="1" x14ac:dyDescent="0.2">
      <c r="A3" s="2" t="s">
        <v>29</v>
      </c>
      <c r="B3" s="2" t="s">
        <v>30</v>
      </c>
      <c r="C3" s="2" t="s">
        <v>31</v>
      </c>
      <c r="D3" s="2" t="s">
        <v>32</v>
      </c>
    </row>
    <row r="4" spans="1:4" ht="29.1" customHeight="1" x14ac:dyDescent="0.2">
      <c r="A4" s="3" t="s">
        <v>33</v>
      </c>
      <c r="B4" s="4">
        <v>7</v>
      </c>
      <c r="C4" s="4" t="s">
        <v>34</v>
      </c>
      <c r="D4" s="5" t="s">
        <v>35</v>
      </c>
    </row>
    <row r="5" spans="1:4" ht="29.1" customHeight="1" x14ac:dyDescent="0.2">
      <c r="A5" s="3" t="s">
        <v>36</v>
      </c>
      <c r="B5" s="4">
        <v>21</v>
      </c>
      <c r="C5" s="4" t="s">
        <v>37</v>
      </c>
      <c r="D5" s="5" t="s">
        <v>38</v>
      </c>
    </row>
    <row r="6" spans="1:4" ht="29.1" customHeight="1" x14ac:dyDescent="0.2">
      <c r="A6" s="3" t="s">
        <v>39</v>
      </c>
      <c r="B6" s="4">
        <v>7</v>
      </c>
      <c r="C6" s="4" t="s">
        <v>40</v>
      </c>
      <c r="D6" s="5" t="s">
        <v>41</v>
      </c>
    </row>
    <row r="7" spans="1:4" ht="57.95" customHeight="1" x14ac:dyDescent="0.25">
      <c r="A7" s="38" t="s">
        <v>42</v>
      </c>
      <c r="B7" s="39"/>
      <c r="C7" s="39"/>
      <c r="D7" s="39"/>
    </row>
  </sheetData>
  <mergeCells count="2">
    <mergeCell ref="A1:D1"/>
    <mergeCell ref="A7:D7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B83F-B1F3-4460-84EE-74C4169E9D7F}">
  <sheetPr>
    <outlinePr summaryBelow="0" summaryRight="0"/>
  </sheetPr>
  <dimension ref="A1:F12"/>
  <sheetViews>
    <sheetView showGridLines="0" workbookViewId="0">
      <selection sqref="A1:F1"/>
    </sheetView>
  </sheetViews>
  <sheetFormatPr defaultColWidth="8" defaultRowHeight="14.25" x14ac:dyDescent="0.2"/>
  <cols>
    <col min="1" max="1" width="26" customWidth="1"/>
    <col min="2" max="2" width="14" customWidth="1"/>
    <col min="3" max="3" width="22" customWidth="1"/>
    <col min="4" max="4" width="10" customWidth="1"/>
    <col min="5" max="5" width="40" customWidth="1"/>
  </cols>
  <sheetData>
    <row r="1" spans="1:6" ht="29.1" customHeight="1" x14ac:dyDescent="0.2">
      <c r="A1" s="37" t="s">
        <v>43</v>
      </c>
      <c r="B1" s="35"/>
      <c r="C1" s="35"/>
      <c r="D1" s="35"/>
      <c r="E1" s="35"/>
      <c r="F1" s="35"/>
    </row>
    <row r="2" spans="1:6" ht="15" customHeight="1" x14ac:dyDescent="0.2"/>
    <row r="3" spans="1:6" ht="15" customHeight="1" x14ac:dyDescent="0.2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</row>
    <row r="4" spans="1:6" ht="15" customHeight="1" x14ac:dyDescent="0.2">
      <c r="A4" s="7" t="s">
        <v>49</v>
      </c>
      <c r="B4" s="8">
        <v>5</v>
      </c>
      <c r="C4" s="8" t="s">
        <v>50</v>
      </c>
      <c r="D4" s="8" t="s">
        <v>51</v>
      </c>
      <c r="E4" s="9" t="s">
        <v>52</v>
      </c>
    </row>
    <row r="5" spans="1:6" ht="15" customHeight="1" x14ac:dyDescent="0.2">
      <c r="A5" s="7" t="s">
        <v>53</v>
      </c>
      <c r="B5" s="8">
        <v>2</v>
      </c>
      <c r="C5" s="8" t="s">
        <v>54</v>
      </c>
      <c r="D5" s="8" t="s">
        <v>55</v>
      </c>
      <c r="E5" s="9" t="s">
        <v>56</v>
      </c>
    </row>
    <row r="6" spans="1:6" ht="15" customHeight="1" x14ac:dyDescent="0.2">
      <c r="A6" s="7" t="s">
        <v>57</v>
      </c>
      <c r="B6" s="8">
        <v>3</v>
      </c>
      <c r="C6" s="8" t="s">
        <v>58</v>
      </c>
      <c r="D6" s="8" t="s">
        <v>59</v>
      </c>
      <c r="E6" s="9" t="s">
        <v>60</v>
      </c>
    </row>
    <row r="7" spans="1:6" ht="15" customHeight="1" x14ac:dyDescent="0.2">
      <c r="A7" s="7" t="s">
        <v>61</v>
      </c>
      <c r="B7" s="8">
        <v>1</v>
      </c>
      <c r="C7" s="8" t="s">
        <v>62</v>
      </c>
      <c r="D7" s="8" t="s">
        <v>63</v>
      </c>
      <c r="E7" s="9" t="s">
        <v>64</v>
      </c>
    </row>
    <row r="8" spans="1:6" ht="57.95" customHeight="1" x14ac:dyDescent="0.2">
      <c r="A8" s="7" t="s">
        <v>65</v>
      </c>
      <c r="B8" s="10">
        <f>ROUND(B11/(B5*B7*1)*B4,1)</f>
        <v>500</v>
      </c>
      <c r="C8" s="8" t="s">
        <v>66</v>
      </c>
      <c r="D8" s="8" t="s">
        <v>67</v>
      </c>
      <c r="E8" s="9" t="s">
        <v>68</v>
      </c>
    </row>
    <row r="9" spans="1:6" ht="29.1" customHeight="1" x14ac:dyDescent="0.2">
      <c r="A9" s="7" t="s">
        <v>69</v>
      </c>
      <c r="B9" s="11">
        <v>0.3</v>
      </c>
      <c r="C9" s="8" t="s">
        <v>70</v>
      </c>
      <c r="D9" s="8" t="s">
        <v>71</v>
      </c>
      <c r="E9" s="9" t="s">
        <v>72</v>
      </c>
    </row>
    <row r="10" spans="1:6" ht="72.599999999999994" customHeight="1" x14ac:dyDescent="0.2">
      <c r="A10" s="7" t="s">
        <v>73</v>
      </c>
      <c r="B10" s="10">
        <f>ROUND(B11/(B6*B7*(1+B9))*B4,1)</f>
        <v>256.39999999999998</v>
      </c>
      <c r="C10" s="8" t="s">
        <v>74</v>
      </c>
      <c r="D10" s="8" t="s">
        <v>75</v>
      </c>
      <c r="E10" s="9" t="s">
        <v>76</v>
      </c>
    </row>
    <row r="11" spans="1:6" ht="29.1" customHeight="1" x14ac:dyDescent="0.2">
      <c r="A11" s="7" t="s">
        <v>77</v>
      </c>
      <c r="B11" s="8">
        <v>200</v>
      </c>
      <c r="C11" s="8" t="s">
        <v>78</v>
      </c>
      <c r="D11" s="8" t="s">
        <v>79</v>
      </c>
      <c r="E11" s="9" t="s">
        <v>80</v>
      </c>
    </row>
    <row r="12" spans="1:6" ht="29.1" customHeight="1" x14ac:dyDescent="0.2">
      <c r="A12" s="7" t="s">
        <v>81</v>
      </c>
      <c r="B12" s="8" t="s">
        <v>82</v>
      </c>
      <c r="C12" s="8" t="s">
        <v>83</v>
      </c>
      <c r="D12" s="8" t="s">
        <v>84</v>
      </c>
      <c r="E12" s="9" t="s">
        <v>85</v>
      </c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E07E-F94E-4D4B-9BB4-679E1EAF5D1F}">
  <sheetPr>
    <outlinePr summaryBelow="0" summaryRight="0"/>
  </sheetPr>
  <dimension ref="A1:E9"/>
  <sheetViews>
    <sheetView showGridLines="0" workbookViewId="0">
      <selection sqref="A1:E1"/>
    </sheetView>
  </sheetViews>
  <sheetFormatPr defaultColWidth="8" defaultRowHeight="14.25" x14ac:dyDescent="0.2"/>
  <cols>
    <col min="1" max="1" width="26" customWidth="1"/>
    <col min="2" max="2" width="14" customWidth="1"/>
    <col min="3" max="3" width="16" customWidth="1"/>
    <col min="4" max="4" width="10" customWidth="1"/>
    <col min="5" max="5" width="42" customWidth="1"/>
  </cols>
  <sheetData>
    <row r="1" spans="1:5" ht="29.1" customHeight="1" x14ac:dyDescent="0.2">
      <c r="A1" s="37"/>
      <c r="B1" s="35"/>
      <c r="C1" s="35"/>
      <c r="D1" s="35"/>
      <c r="E1" s="35"/>
    </row>
    <row r="2" spans="1:5" ht="15" customHeight="1" x14ac:dyDescent="0.2"/>
    <row r="3" spans="1:5" ht="15" customHeight="1" x14ac:dyDescent="0.2">
      <c r="A3" s="12" t="s">
        <v>86</v>
      </c>
      <c r="B3" s="12" t="s">
        <v>87</v>
      </c>
      <c r="C3" s="12" t="s">
        <v>88</v>
      </c>
      <c r="D3" s="12" t="s">
        <v>89</v>
      </c>
      <c r="E3" s="12" t="s">
        <v>90</v>
      </c>
    </row>
    <row r="4" spans="1:5" ht="15" customHeight="1" x14ac:dyDescent="0.2">
      <c r="A4" s="13" t="s">
        <v>91</v>
      </c>
      <c r="B4" s="14">
        <v>100</v>
      </c>
      <c r="C4" s="15" t="s">
        <v>92</v>
      </c>
      <c r="D4" s="15" t="s">
        <v>93</v>
      </c>
      <c r="E4" s="16" t="s">
        <v>94</v>
      </c>
    </row>
    <row r="5" spans="1:5" ht="15" customHeight="1" x14ac:dyDescent="0.2">
      <c r="A5" s="13" t="s">
        <v>95</v>
      </c>
      <c r="B5" s="15">
        <v>1</v>
      </c>
      <c r="C5" s="15" t="s">
        <v>96</v>
      </c>
      <c r="D5" s="15" t="s">
        <v>97</v>
      </c>
      <c r="E5" s="16" t="s">
        <v>98</v>
      </c>
    </row>
    <row r="6" spans="1:5" ht="29.1" customHeight="1" x14ac:dyDescent="0.2">
      <c r="A6" s="13" t="s">
        <v>99</v>
      </c>
      <c r="B6" s="15">
        <v>1</v>
      </c>
      <c r="C6" s="15" t="s">
        <v>100</v>
      </c>
      <c r="D6" s="15" t="s">
        <v>101</v>
      </c>
      <c r="E6" s="16" t="s">
        <v>102</v>
      </c>
    </row>
    <row r="7" spans="1:5" ht="29.1" customHeight="1" x14ac:dyDescent="0.2">
      <c r="A7" s="13" t="s">
        <v>103</v>
      </c>
      <c r="B7" s="15">
        <v>-0.2</v>
      </c>
      <c r="C7" s="15" t="s">
        <v>104</v>
      </c>
      <c r="D7" s="15" t="s">
        <v>105</v>
      </c>
      <c r="E7" s="16" t="s">
        <v>106</v>
      </c>
    </row>
    <row r="8" spans="1:5" ht="29.1" customHeight="1" x14ac:dyDescent="0.2">
      <c r="A8" s="13" t="s">
        <v>107</v>
      </c>
      <c r="B8" s="15">
        <f>ROUND(B4/(1+B7),0)</f>
        <v>125</v>
      </c>
      <c r="C8" s="15" t="s">
        <v>108</v>
      </c>
      <c r="D8" s="15" t="s">
        <v>109</v>
      </c>
      <c r="E8" s="16" t="s">
        <v>110</v>
      </c>
    </row>
    <row r="9" spans="1:5" ht="15" customHeight="1" x14ac:dyDescent="0.2">
      <c r="A9" s="13" t="s">
        <v>111</v>
      </c>
      <c r="B9" s="15" t="s">
        <v>112</v>
      </c>
      <c r="C9" s="15" t="s">
        <v>113</v>
      </c>
      <c r="D9" s="15" t="s">
        <v>114</v>
      </c>
      <c r="E9" s="16" t="s">
        <v>115</v>
      </c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C94F-513D-47F0-A971-608E63D866BB}">
  <sheetPr>
    <outlinePr summaryBelow="0" summaryRight="0"/>
  </sheetPr>
  <dimension ref="A1:E12"/>
  <sheetViews>
    <sheetView showGridLines="0" workbookViewId="0">
      <selection sqref="A1:E1"/>
    </sheetView>
  </sheetViews>
  <sheetFormatPr defaultColWidth="8" defaultRowHeight="14.25" x14ac:dyDescent="0.2"/>
  <cols>
    <col min="1" max="1" width="46" customWidth="1"/>
    <col min="2" max="2" width="23" customWidth="1"/>
    <col min="3" max="3" width="25" customWidth="1"/>
    <col min="4" max="4" width="9" customWidth="1"/>
    <col min="5" max="5" width="46" customWidth="1"/>
  </cols>
  <sheetData>
    <row r="1" spans="1:5" ht="15" customHeight="1" x14ac:dyDescent="0.2">
      <c r="A1" s="37" t="s">
        <v>116</v>
      </c>
      <c r="B1" s="35"/>
      <c r="C1" s="35"/>
      <c r="D1" s="35"/>
      <c r="E1" s="35"/>
    </row>
    <row r="2" spans="1:5" ht="15" customHeight="1" x14ac:dyDescent="0.2"/>
    <row r="3" spans="1:5" ht="15" customHeight="1" x14ac:dyDescent="0.2">
      <c r="A3" s="17" t="s">
        <v>117</v>
      </c>
      <c r="B3" s="17" t="s">
        <v>118</v>
      </c>
      <c r="C3" s="17" t="s">
        <v>119</v>
      </c>
      <c r="D3" s="17" t="s">
        <v>120</v>
      </c>
      <c r="E3" s="17" t="s">
        <v>121</v>
      </c>
    </row>
    <row r="4" spans="1:5" ht="29.1" customHeight="1" x14ac:dyDescent="0.2">
      <c r="A4" s="18" t="s">
        <v>122</v>
      </c>
      <c r="B4" s="19" t="s">
        <v>123</v>
      </c>
      <c r="C4" s="20" t="s">
        <v>124</v>
      </c>
      <c r="D4" s="19" t="s">
        <v>125</v>
      </c>
      <c r="E4" s="20" t="s">
        <v>126</v>
      </c>
    </row>
    <row r="5" spans="1:5" ht="15" customHeight="1" x14ac:dyDescent="0.2">
      <c r="A5" s="18" t="s">
        <v>127</v>
      </c>
      <c r="B5" s="19" t="s">
        <v>128</v>
      </c>
      <c r="C5" s="20" t="s">
        <v>129</v>
      </c>
      <c r="D5" s="19" t="s">
        <v>130</v>
      </c>
      <c r="E5" s="20" t="s">
        <v>131</v>
      </c>
    </row>
    <row r="6" spans="1:5" ht="15" customHeight="1" x14ac:dyDescent="0.2">
      <c r="A6" s="18" t="s">
        <v>132</v>
      </c>
      <c r="B6" s="19" t="s">
        <v>133</v>
      </c>
      <c r="C6" s="20" t="s">
        <v>134</v>
      </c>
      <c r="D6" s="19" t="s">
        <v>135</v>
      </c>
      <c r="E6" s="20"/>
    </row>
    <row r="7" spans="1:5" ht="15" customHeight="1" x14ac:dyDescent="0.2">
      <c r="A7" s="18" t="s">
        <v>136</v>
      </c>
      <c r="B7" s="19" t="s">
        <v>137</v>
      </c>
      <c r="C7" s="20" t="s">
        <v>138</v>
      </c>
      <c r="D7" s="19" t="s">
        <v>139</v>
      </c>
      <c r="E7" s="20" t="s">
        <v>140</v>
      </c>
    </row>
    <row r="8" spans="1:5" ht="15" customHeight="1" x14ac:dyDescent="0.2">
      <c r="A8" s="18" t="s">
        <v>141</v>
      </c>
      <c r="B8" s="19" t="s">
        <v>142</v>
      </c>
      <c r="C8" s="20" t="s">
        <v>143</v>
      </c>
      <c r="D8" s="19" t="s">
        <v>144</v>
      </c>
      <c r="E8" s="20" t="s">
        <v>145</v>
      </c>
    </row>
    <row r="9" spans="1:5" ht="15" customHeight="1" x14ac:dyDescent="0.2">
      <c r="A9" s="18" t="s">
        <v>146</v>
      </c>
      <c r="B9" s="19" t="s">
        <v>147</v>
      </c>
      <c r="C9" s="20" t="s">
        <v>148</v>
      </c>
      <c r="D9" s="19" t="s">
        <v>149</v>
      </c>
      <c r="E9" s="20"/>
    </row>
    <row r="10" spans="1:5" ht="15" customHeight="1" x14ac:dyDescent="0.2">
      <c r="A10" s="18" t="s">
        <v>150</v>
      </c>
      <c r="B10" s="19" t="s">
        <v>151</v>
      </c>
      <c r="C10" s="20" t="s">
        <v>152</v>
      </c>
      <c r="D10" s="19" t="s">
        <v>153</v>
      </c>
      <c r="E10" s="20"/>
    </row>
    <row r="11" spans="1:5" ht="15" customHeight="1" x14ac:dyDescent="0.2">
      <c r="A11" s="18" t="s">
        <v>154</v>
      </c>
      <c r="B11" s="19" t="s">
        <v>155</v>
      </c>
      <c r="C11" s="20" t="s">
        <v>156</v>
      </c>
      <c r="D11" s="19" t="s">
        <v>157</v>
      </c>
      <c r="E11" s="20" t="s">
        <v>158</v>
      </c>
    </row>
    <row r="12" spans="1:5" ht="57.95" customHeight="1" x14ac:dyDescent="0.25">
      <c r="A12" s="40" t="s">
        <v>159</v>
      </c>
      <c r="B12" s="41"/>
      <c r="C12" s="41"/>
      <c r="D12" s="41"/>
      <c r="E12" s="41"/>
    </row>
  </sheetData>
  <mergeCells count="2">
    <mergeCell ref="A1:E1"/>
    <mergeCell ref="A12:E1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82BE-3C43-48AF-BB8E-283D32BD0FAE}">
  <sheetPr>
    <outlinePr summaryBelow="0" summaryRight="0"/>
  </sheetPr>
  <dimension ref="A1:E9"/>
  <sheetViews>
    <sheetView showGridLines="0" workbookViewId="0">
      <selection sqref="A1:E1"/>
    </sheetView>
  </sheetViews>
  <sheetFormatPr defaultColWidth="8" defaultRowHeight="14.25" x14ac:dyDescent="0.2"/>
  <cols>
    <col min="1" max="2" width="46" customWidth="1"/>
    <col min="3" max="3" width="9" customWidth="1"/>
    <col min="4" max="4" width="44" customWidth="1"/>
  </cols>
  <sheetData>
    <row r="1" spans="1:5" ht="29.1" customHeight="1" x14ac:dyDescent="0.2">
      <c r="A1" s="37" t="s">
        <v>160</v>
      </c>
      <c r="B1" s="35"/>
      <c r="C1" s="35"/>
      <c r="D1" s="35"/>
      <c r="E1" s="35"/>
    </row>
    <row r="2" spans="1:5" ht="15" customHeight="1" x14ac:dyDescent="0.2"/>
    <row r="3" spans="1:5" ht="15" customHeight="1" x14ac:dyDescent="0.2">
      <c r="A3" s="21" t="s">
        <v>161</v>
      </c>
      <c r="B3" s="21" t="s">
        <v>162</v>
      </c>
      <c r="C3" s="21" t="s">
        <v>163</v>
      </c>
      <c r="D3" s="21" t="s">
        <v>164</v>
      </c>
    </row>
    <row r="4" spans="1:5" ht="29.1" customHeight="1" x14ac:dyDescent="0.2">
      <c r="A4" s="22" t="s">
        <v>165</v>
      </c>
      <c r="B4" s="23" t="s">
        <v>166</v>
      </c>
      <c r="C4" s="24" t="s">
        <v>167</v>
      </c>
      <c r="D4" s="23" t="s">
        <v>168</v>
      </c>
    </row>
    <row r="5" spans="1:5" ht="15" customHeight="1" x14ac:dyDescent="0.2">
      <c r="A5" s="22" t="s">
        <v>169</v>
      </c>
      <c r="B5" s="23" t="s">
        <v>170</v>
      </c>
      <c r="C5" s="24" t="s">
        <v>171</v>
      </c>
      <c r="D5" s="23"/>
    </row>
    <row r="6" spans="1:5" ht="15" customHeight="1" x14ac:dyDescent="0.2">
      <c r="A6" s="22" t="s">
        <v>172</v>
      </c>
      <c r="B6" s="23" t="s">
        <v>173</v>
      </c>
      <c r="C6" s="24" t="s">
        <v>174</v>
      </c>
      <c r="D6" s="23"/>
    </row>
    <row r="7" spans="1:5" ht="15" customHeight="1" x14ac:dyDescent="0.2">
      <c r="A7" s="22" t="s">
        <v>175</v>
      </c>
      <c r="B7" s="23" t="s">
        <v>176</v>
      </c>
      <c r="C7" s="24" t="s">
        <v>177</v>
      </c>
      <c r="D7" s="23"/>
    </row>
    <row r="8" spans="1:5" ht="15" customHeight="1" x14ac:dyDescent="0.2">
      <c r="A8" s="22" t="s">
        <v>178</v>
      </c>
      <c r="B8" s="23" t="s">
        <v>179</v>
      </c>
      <c r="C8" s="24" t="s">
        <v>180</v>
      </c>
      <c r="D8" s="23" t="s">
        <v>181</v>
      </c>
    </row>
    <row r="9" spans="1:5" ht="72.599999999999994" customHeight="1" x14ac:dyDescent="0.25">
      <c r="A9" s="42" t="s">
        <v>182</v>
      </c>
      <c r="B9" s="43"/>
      <c r="C9" s="43"/>
      <c r="D9" s="43"/>
    </row>
  </sheetData>
  <mergeCells count="2">
    <mergeCell ref="A1:E1"/>
    <mergeCell ref="A9:D9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415F-8746-4C2D-841A-87663AC3DB18}">
  <sheetPr>
    <outlinePr summaryBelow="0" summaryRight="0"/>
  </sheetPr>
  <dimension ref="A1:F9"/>
  <sheetViews>
    <sheetView showGridLines="0" workbookViewId="0">
      <selection sqref="A1:F1"/>
    </sheetView>
  </sheetViews>
  <sheetFormatPr defaultColWidth="8" defaultRowHeight="14.25" x14ac:dyDescent="0.2"/>
  <cols>
    <col min="1" max="1" width="46" customWidth="1"/>
    <col min="2" max="2" width="15" customWidth="1"/>
    <col min="3" max="3" width="17" customWidth="1"/>
    <col min="4" max="4" width="9" customWidth="1"/>
    <col min="5" max="5" width="43" customWidth="1"/>
  </cols>
  <sheetData>
    <row r="1" spans="1:6" ht="29.1" customHeight="1" x14ac:dyDescent="0.2">
      <c r="A1" s="37" t="s">
        <v>183</v>
      </c>
      <c r="B1" s="35"/>
      <c r="C1" s="35"/>
      <c r="D1" s="35"/>
      <c r="E1" s="35"/>
      <c r="F1" s="35"/>
    </row>
    <row r="2" spans="1:6" ht="15" customHeight="1" x14ac:dyDescent="0.2"/>
    <row r="3" spans="1:6" ht="15" customHeight="1" x14ac:dyDescent="0.2">
      <c r="A3" s="25" t="s">
        <v>184</v>
      </c>
      <c r="B3" s="25" t="s">
        <v>185</v>
      </c>
      <c r="C3" s="25" t="s">
        <v>186</v>
      </c>
      <c r="D3" s="25" t="s">
        <v>187</v>
      </c>
      <c r="E3" s="25" t="s">
        <v>188</v>
      </c>
    </row>
    <row r="4" spans="1:6" ht="29.1" customHeight="1" x14ac:dyDescent="0.2">
      <c r="A4" s="26" t="s">
        <v>189</v>
      </c>
      <c r="B4" s="27">
        <v>20</v>
      </c>
      <c r="C4" s="27" t="s">
        <v>190</v>
      </c>
      <c r="D4" s="27" t="s">
        <v>191</v>
      </c>
      <c r="E4" s="28" t="s">
        <v>192</v>
      </c>
    </row>
    <row r="5" spans="1:6" ht="15" customHeight="1" x14ac:dyDescent="0.2">
      <c r="A5" s="26" t="s">
        <v>193</v>
      </c>
      <c r="B5" s="27">
        <v>15</v>
      </c>
      <c r="C5" s="27" t="s">
        <v>194</v>
      </c>
      <c r="D5" s="27" t="s">
        <v>195</v>
      </c>
      <c r="E5" s="28"/>
    </row>
    <row r="6" spans="1:6" ht="15" customHeight="1" x14ac:dyDescent="0.2">
      <c r="A6" s="26" t="s">
        <v>196</v>
      </c>
      <c r="B6" s="27">
        <v>25</v>
      </c>
      <c r="C6" s="27" t="s">
        <v>197</v>
      </c>
      <c r="D6" s="27" t="s">
        <v>198</v>
      </c>
      <c r="E6" s="28" t="s">
        <v>199</v>
      </c>
    </row>
    <row r="7" spans="1:6" ht="15" customHeight="1" x14ac:dyDescent="0.2">
      <c r="A7" s="26" t="s">
        <v>200</v>
      </c>
      <c r="B7" s="27">
        <v>30</v>
      </c>
      <c r="C7" s="27" t="s">
        <v>201</v>
      </c>
      <c r="D7" s="27" t="s">
        <v>202</v>
      </c>
      <c r="E7" s="28"/>
    </row>
    <row r="8" spans="1:6" ht="15" customHeight="1" x14ac:dyDescent="0.2">
      <c r="A8" s="26" t="s">
        <v>203</v>
      </c>
      <c r="B8" s="27">
        <v>50</v>
      </c>
      <c r="C8" s="27" t="s">
        <v>204</v>
      </c>
      <c r="D8" s="27" t="s">
        <v>205</v>
      </c>
      <c r="E8" s="28"/>
    </row>
    <row r="9" spans="1:6" ht="57.95" customHeight="1" x14ac:dyDescent="0.25">
      <c r="A9" s="44" t="s">
        <v>206</v>
      </c>
      <c r="B9" s="45"/>
      <c r="C9" s="45"/>
      <c r="D9" s="45"/>
      <c r="E9" s="45"/>
    </row>
  </sheetData>
  <mergeCells count="2">
    <mergeCell ref="A1:F1"/>
    <mergeCell ref="A9:E9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B4CA-6829-485E-BB15-FFE221EC62F1}">
  <sheetPr>
    <outlinePr summaryBelow="0" summaryRight="0"/>
  </sheetPr>
  <dimension ref="A1:E8"/>
  <sheetViews>
    <sheetView showGridLines="0" workbookViewId="0">
      <selection activeCell="D7" sqref="D7"/>
    </sheetView>
  </sheetViews>
  <sheetFormatPr defaultColWidth="8" defaultRowHeight="14.25" x14ac:dyDescent="0.2"/>
  <cols>
    <col min="1" max="1" width="46" customWidth="1"/>
    <col min="2" max="2" width="17" customWidth="1"/>
    <col min="3" max="3" width="9" customWidth="1"/>
    <col min="4" max="4" width="46" customWidth="1"/>
  </cols>
  <sheetData>
    <row r="1" spans="1:5" ht="15" customHeight="1" x14ac:dyDescent="0.2">
      <c r="A1" s="37" t="s">
        <v>207</v>
      </c>
      <c r="B1" s="35"/>
      <c r="C1" s="35"/>
      <c r="D1" s="35"/>
      <c r="E1" s="35"/>
    </row>
    <row r="2" spans="1:5" ht="15" customHeight="1" x14ac:dyDescent="0.2"/>
    <row r="3" spans="1:5" ht="15" customHeight="1" x14ac:dyDescent="0.2">
      <c r="A3" s="29" t="s">
        <v>208</v>
      </c>
      <c r="B3" s="29" t="s">
        <v>209</v>
      </c>
      <c r="C3" s="29" t="s">
        <v>210</v>
      </c>
      <c r="D3" s="29" t="s">
        <v>211</v>
      </c>
    </row>
    <row r="4" spans="1:5" ht="29.1" customHeight="1" x14ac:dyDescent="0.2">
      <c r="A4" s="30" t="s">
        <v>212</v>
      </c>
      <c r="B4" s="31" t="s">
        <v>213</v>
      </c>
      <c r="C4" s="31" t="s">
        <v>214</v>
      </c>
      <c r="D4" s="32" t="s">
        <v>215</v>
      </c>
    </row>
    <row r="5" spans="1:5" ht="15" customHeight="1" x14ac:dyDescent="0.2">
      <c r="A5" s="30" t="s">
        <v>216</v>
      </c>
      <c r="B5" s="31" t="s">
        <v>217</v>
      </c>
      <c r="C5" s="31" t="s">
        <v>218</v>
      </c>
      <c r="D5" s="32" t="s">
        <v>219</v>
      </c>
    </row>
    <row r="6" spans="1:5" ht="15" customHeight="1" x14ac:dyDescent="0.2">
      <c r="A6" s="30" t="s">
        <v>220</v>
      </c>
      <c r="B6" s="31" t="s">
        <v>221</v>
      </c>
      <c r="C6" s="31" t="s">
        <v>222</v>
      </c>
      <c r="D6" s="32" t="s">
        <v>223</v>
      </c>
    </row>
    <row r="7" spans="1:5" ht="29.1" customHeight="1" x14ac:dyDescent="0.2">
      <c r="A7" s="30" t="s">
        <v>224</v>
      </c>
      <c r="B7" s="31" t="s">
        <v>225</v>
      </c>
      <c r="C7" s="31" t="s">
        <v>226</v>
      </c>
      <c r="D7" s="32" t="s">
        <v>227</v>
      </c>
    </row>
    <row r="8" spans="1:5" ht="57.95" customHeight="1" x14ac:dyDescent="0.25">
      <c r="A8" s="46" t="s">
        <v>228</v>
      </c>
      <c r="B8" s="47"/>
      <c r="C8" s="47"/>
      <c r="D8" s="47"/>
    </row>
  </sheetData>
  <mergeCells count="2">
    <mergeCell ref="A1:E1"/>
    <mergeCell ref="A8:D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总览与口径</vt:lpstr>
      <vt:lpstr>活动周期</vt:lpstr>
      <vt:lpstr>挂机产出</vt:lpstr>
      <vt:lpstr>材料提交</vt:lpstr>
      <vt:lpstr>签到奖励</vt:lpstr>
      <vt:lpstr>BOSS分段奖励</vt:lpstr>
      <vt:lpstr>商店兑换</vt:lpstr>
      <vt:lpstr>VIP特权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litg</dc:creator>
  <cp:lastModifiedBy>litg</cp:lastModifiedBy>
  <dcterms:modified xsi:type="dcterms:W3CDTF">2026-10-10T06:19:44Z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{"Label":"1","ContentProducer":"001191110102MACQD9K64010000","ProduceID":"7694681431523593165","ReservedCode1":"","ContentPropagator":"","PropagateID":"","ReservedCode2":""}</vt:lpwstr>
  </property>
</Properties>
</file>